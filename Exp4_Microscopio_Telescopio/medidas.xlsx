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ledu-my.sharepoint.com/personal/apinzonh_unal_edu_co/Documents/Docs/Universidad/2024-2/Mediciones en Óptica/2024-II_Mediciones_Opticas/Exp4_Microscopio_Telescopio/"/>
    </mc:Choice>
  </mc:AlternateContent>
  <xr:revisionPtr revIDLastSave="28" documentId="8_{DA1E00E5-5F3A-44BA-98DB-DF264C2C2076}" xr6:coauthVersionLast="47" xr6:coauthVersionMax="47" xr10:uidLastSave="{17B73262-CFD0-4273-8B5D-BC3E06F68E38}"/>
  <bookViews>
    <workbookView minimized="1" xWindow="5808" yWindow="3360" windowWidth="17040" windowHeight="8880" activeTab="1" xr2:uid="{446F17DE-AC2E-405C-BBE0-354FEF9E482A}"/>
  </bookViews>
  <sheets>
    <sheet name="Hoja1" sheetId="1" r:id="rId1"/>
    <sheet name="P_salida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8" i="1"/>
  <c r="B8" i="1"/>
  <c r="A8" i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<sst xmlns="http://schemas.openxmlformats.org/spreadsheetml/2006/main" count="4" uniqueCount="4">
  <si>
    <t>lineas</t>
  </si>
  <si>
    <t>densidad</t>
  </si>
  <si>
    <t>Pupila medida a la derecha d</t>
  </si>
  <si>
    <t>pupila_salida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</si>
</sst>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8163-ADA0-487C-893B-CE545A6E9113}">
  <dimension ref="A1:C9"/>
  <sheetViews>
    <sheetView workbookViewId="0">
      <selection activeCell="C8" sqref="C8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>
        <v>5</v>
      </c>
      <c r="B2" s="1">
        <f>A2/0.6</f>
        <v>8.3333333333333339</v>
      </c>
    </row>
    <row r="3" spans="1:3" x14ac:dyDescent="0.3">
      <c r="A3">
        <v>6</v>
      </c>
      <c r="B3" s="1">
        <f t="shared" ref="B3:B7" si="0">A3/0.6</f>
        <v>10</v>
      </c>
    </row>
    <row r="4" spans="1:3" x14ac:dyDescent="0.3">
      <c r="A4">
        <v>5</v>
      </c>
      <c r="B4" s="1">
        <f t="shared" si="0"/>
        <v>8.3333333333333339</v>
      </c>
    </row>
    <row r="5" spans="1:3" x14ac:dyDescent="0.3">
      <c r="A5">
        <v>6</v>
      </c>
      <c r="B5" s="1">
        <f t="shared" si="0"/>
        <v>10</v>
      </c>
    </row>
    <row r="6" spans="1:3" x14ac:dyDescent="0.3">
      <c r="A6">
        <v>6</v>
      </c>
      <c r="B6" s="1">
        <f t="shared" si="0"/>
        <v>10</v>
      </c>
    </row>
    <row r="7" spans="1:3" x14ac:dyDescent="0.3">
      <c r="A7">
        <v>6</v>
      </c>
      <c r="B7" s="1">
        <f t="shared" si="0"/>
        <v>10</v>
      </c>
    </row>
    <row r="8" spans="1:3" x14ac:dyDescent="0.3">
      <c r="A8">
        <f>AVERAGE(A2:A7)</f>
        <v>5.666666666666667</v>
      </c>
      <c r="B8" s="1">
        <f>AVERAGE(B2:B7)</f>
        <v>9.4444444444444446</v>
      </c>
      <c r="C8">
        <f>_xlfn.STDEV.S(B2:B7)</f>
        <v>0.86066296582387003</v>
      </c>
    </row>
    <row r="9" spans="1:3" x14ac:dyDescent="0.3">
      <c r="C9">
        <f>C8/SQRT(6)</f>
        <v>0.35136418446315315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BCE8-FFB6-4F70-B35C-65349AA4443B}">
  <dimension ref="A1:A9"/>
  <sheetViews>
    <sheetView tabSelected="1" workbookViewId="0">
      <selection sqref="A1:A7"/>
    </sheetView>
  </sheetViews>
  <sheetFormatPr baseColWidth="10" defaultRowHeight="14.4" x14ac:dyDescent="0.3"/>
  <sheetData>
    <row r="1" spans="1:1" x14ac:dyDescent="0.3">
      <c r="A1" t="s">
        <v>3</v>
      </c>
    </row>
    <row r="2" spans="1:1" x14ac:dyDescent="0.3">
      <c r="A2">
        <v>99</v>
      </c>
    </row>
    <row r="3" spans="1:1" x14ac:dyDescent="0.3">
      <c r="A3">
        <v>98.3</v>
      </c>
    </row>
    <row r="4" spans="1:1" x14ac:dyDescent="0.3">
      <c r="A4">
        <v>99.1</v>
      </c>
    </row>
    <row r="5" spans="1:1" x14ac:dyDescent="0.3">
      <c r="A5">
        <v>98.8</v>
      </c>
    </row>
    <row r="6" spans="1:1" x14ac:dyDescent="0.3">
      <c r="A6">
        <v>98.5</v>
      </c>
    </row>
    <row r="7" spans="1:1" x14ac:dyDescent="0.3">
      <c r="A7">
        <v>99.5</v>
      </c>
    </row>
    <row r="9" spans="1:1" x14ac:dyDescent="0.3">
      <c r="A9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20C6E-DD17-452A-9580-775FEA26414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P_salida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Pinzón</dc:creator>
  <cp:lastModifiedBy>Andrés Pinzón Harker</cp:lastModifiedBy>
  <dcterms:created xsi:type="dcterms:W3CDTF">2024-12-17T20:08:25Z</dcterms:created>
  <dcterms:modified xsi:type="dcterms:W3CDTF">2024-12-17T22:04:40Z</dcterms:modified>
</cp:coreProperties>
</file>